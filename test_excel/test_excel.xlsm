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830" codeName="{861861EC-F77C-3E69-5087-FD670AB338C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0696a13d5066b76c/salak/test_excel/"/>
    </mc:Choice>
  </mc:AlternateContent>
  <bookViews>
    <workbookView xWindow="1335" yWindow="-20325" windowWidth="21270" windowHeight="12585" tabRatio="500" activeTab="1"/>
  </bookViews>
  <sheets>
    <sheet name="Sheet1" sheetId="1" r:id="rId1"/>
    <sheet name="Sheet2" sheetId="2" r:id="rId2"/>
  </sheets>
  <functionGroups builtInGroupCount="18"/>
  <calcPr calcId="171027"/>
  <fileRecoveryPr repairLoad="1"/>
  <extLst>
    <ext xmlns:x14="http://schemas.microsoft.com/office/spreadsheetml/2009/9/main" uri="{8193D73E-4604-4355-AFF4-8A2333D13BE4}">
      <x14:definedNames>
        <x14:definedName name="a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odelPoi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Cumprod">
          <x14:argumentDescriptions count="2">
            <x14:argumentDescription index="0">Positional argument 1</x14:argumentDescription>
            <x14:argumentDescription index="1">if TRUE then cumprod from bottom default True</x14:argumentDescription>
          </x14:argumentDescriptions>
        </x14:definedName>
        <x14:definedName name="pCumsum">
          <x14:argumentDescriptions count="2">
            <x14:argumentDescription index="0">Positional argument 1</x14:argumentDescription>
            <x14:argumentDescription index="1">if TRUE then cumsum from bottom default True</x14:argumentDescription>
          </x14:argumentDescriptions>
        </x14:definedName>
        <x14:definedName name="pPro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oductArrayOf">
          <x14:argumentDescriptions count="7">
            <x14:argumentDescription index="0">the id of the Product</x14:argumentDescription>
            <x14:argumentDescription index="1">the method name of the py function</x14:argumentDescription>
            <x14:argumentDescription index="2">ModelPoint init keywords</x14:argumentDescription>
            <x14:argumentDescription index="3">ModelPoint init values</x14:argumentDescription>
            <x14:argumentDescription index="4">Positional argument 5</x14:argumentDescription>
            <x14:argumentDescription index="5">Positional argument 6</x14:argumentDescription>
            <x14:argumentDescription index="6">shall we return a vertical array? default True</x14:argumentDescription>
          </x14:argumentDescriptions>
        </x14:definedName>
        <x14:definedName name="productName">
          <x14:argumentDescriptions count="1">
            <x14:argumentDescription index="0">the id of the Product</x14:argumentDescription>
          </x14:argumentDescriptions>
        </x14:definedName>
        <x14:definedName name="p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cumprod">
          <x14:argumentDescriptions count="2">
            <x14:argumentDescription index="0">Positional argument 1</x14:argumentDescription>
            <x14:argumentDescription index="1">if TRUE then cumprod from bottom default True</x14:argumentDescription>
          </x14:argumentDescriptions>
        </x14:definedName>
        <x14:definedName name="vcumsum">
          <x14:argumentDescriptions count="2">
            <x14:argumentDescription index="0">Positional argument 1</x14:argumentDescription>
            <x14:argumentDescription index="1">if TRUE then cumsum from bottom default True</x14:argumentDescription>
          </x14:argumentDescriptions>
        </x14:definedName>
        <x14:definedName name="vmultipl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pro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I5" i="2" l="1" a="1"/>
  <c r="I5" i="2" l="1"/>
  <c r="I13" i="2"/>
  <c r="I21" i="2"/>
  <c r="I29" i="2"/>
  <c r="I37" i="2"/>
  <c r="I38" i="2"/>
  <c r="I15" i="2"/>
  <c r="I23" i="2"/>
  <c r="I39" i="2"/>
  <c r="I16" i="2"/>
  <c r="I32" i="2"/>
  <c r="I17" i="2"/>
  <c r="I33" i="2"/>
  <c r="I18" i="2"/>
  <c r="I19" i="2"/>
  <c r="I28" i="2"/>
  <c r="I6" i="2"/>
  <c r="I14" i="2"/>
  <c r="I22" i="2"/>
  <c r="I30" i="2"/>
  <c r="I31" i="2"/>
  <c r="I8" i="2"/>
  <c r="I24" i="2"/>
  <c r="I25" i="2"/>
  <c r="I10" i="2"/>
  <c r="I34" i="2"/>
  <c r="I27" i="2"/>
  <c r="I12" i="2"/>
  <c r="I7" i="2"/>
  <c r="I9" i="2"/>
  <c r="I26" i="2"/>
  <c r="I11" i="2"/>
  <c r="I36" i="2"/>
  <c r="I35" i="2"/>
  <c r="I20" i="2"/>
  <c r="I4" i="2" l="1"/>
  <c r="F5" i="2" a="1"/>
  <c r="F5" i="2" l="1"/>
  <c r="F13" i="2"/>
  <c r="F21" i="2"/>
  <c r="F29" i="2"/>
  <c r="F37" i="2"/>
  <c r="F14" i="2"/>
  <c r="F22" i="2"/>
  <c r="F30" i="2"/>
  <c r="F38" i="2"/>
  <c r="F15" i="2"/>
  <c r="F23" i="2"/>
  <c r="F31" i="2"/>
  <c r="F39" i="2"/>
  <c r="F16" i="2"/>
  <c r="F24" i="2"/>
  <c r="F32" i="2"/>
  <c r="F17" i="2"/>
  <c r="F25" i="2"/>
  <c r="F33" i="2"/>
  <c r="F18" i="2"/>
  <c r="F34" i="2"/>
  <c r="F19" i="2"/>
  <c r="F35" i="2"/>
  <c r="F20" i="2"/>
  <c r="F6" i="2"/>
  <c r="F9" i="2"/>
  <c r="F10" i="2"/>
  <c r="F26" i="2"/>
  <c r="F11" i="2"/>
  <c r="F27" i="2"/>
  <c r="F12" i="2"/>
  <c r="F28" i="2"/>
  <c r="F7" i="2"/>
  <c r="F36" i="2"/>
  <c r="F8" i="2"/>
  <c r="G4" i="2"/>
  <c r="H4" i="2" s="1"/>
  <c r="G2" i="2"/>
  <c r="G5" i="2" a="1"/>
  <c r="D2" i="1" a="1"/>
  <c r="C11" i="2"/>
  <c r="G24" i="2" l="1"/>
  <c r="G36" i="2"/>
  <c r="G17" i="2"/>
  <c r="G7" i="2"/>
  <c r="G9" i="2"/>
  <c r="G6" i="2"/>
  <c r="G33" i="2"/>
  <c r="G15" i="2"/>
  <c r="G5" i="2"/>
  <c r="G18" i="2"/>
  <c r="G22" i="2"/>
  <c r="G26" i="2"/>
  <c r="G31" i="2"/>
  <c r="G13" i="2"/>
  <c r="G34" i="2"/>
  <c r="G30" i="2"/>
  <c r="G11" i="2"/>
  <c r="G39" i="2"/>
  <c r="G21" i="2"/>
  <c r="G19" i="2"/>
  <c r="G38" i="2"/>
  <c r="G27" i="2"/>
  <c r="G8" i="2"/>
  <c r="G29" i="2"/>
  <c r="G35" i="2"/>
  <c r="G16" i="2"/>
  <c r="G12" i="2"/>
  <c r="G37" i="2"/>
  <c r="G20" i="2"/>
  <c r="G32" i="2"/>
  <c r="G28" i="2"/>
  <c r="G25" i="2"/>
  <c r="G14" i="2"/>
  <c r="G10" i="2"/>
  <c r="G23" i="2"/>
  <c r="H2" i="2"/>
  <c r="D3" i="1"/>
  <c r="D10" i="1"/>
  <c r="D4" i="1"/>
  <c r="D7" i="1"/>
  <c r="D16" i="1"/>
  <c r="D8" i="1"/>
  <c r="D12" i="1"/>
  <c r="D15" i="1"/>
  <c r="D5" i="1"/>
  <c r="D9" i="1"/>
  <c r="D13" i="1"/>
  <c r="D14" i="1"/>
  <c r="D11" i="1"/>
  <c r="D2" i="1"/>
  <c r="D6" i="1"/>
  <c r="E2" i="1" a="1"/>
  <c r="F2" i="1" a="1"/>
  <c r="H5" i="2" a="1"/>
  <c r="H9" i="2" l="1"/>
  <c r="H14" i="2"/>
  <c r="H26" i="2"/>
  <c r="H22" i="2"/>
  <c r="H19" i="2"/>
  <c r="H30" i="2"/>
  <c r="H34" i="2"/>
  <c r="H38" i="2"/>
  <c r="H27" i="2"/>
  <c r="H17" i="2"/>
  <c r="H25" i="2"/>
  <c r="H33" i="2"/>
  <c r="H31" i="2"/>
  <c r="H36" i="2"/>
  <c r="H23" i="2"/>
  <c r="H8" i="2"/>
  <c r="H5" i="2"/>
  <c r="H39" i="2"/>
  <c r="H24" i="2"/>
  <c r="H21" i="2"/>
  <c r="H16" i="2"/>
  <c r="H13" i="2"/>
  <c r="H10" i="2"/>
  <c r="H37" i="2"/>
  <c r="H32" i="2"/>
  <c r="H18" i="2"/>
  <c r="H6" i="2"/>
  <c r="H11" i="2"/>
  <c r="H15" i="2"/>
  <c r="H20" i="2"/>
  <c r="H7" i="2"/>
  <c r="H35" i="2"/>
  <c r="H12" i="2"/>
  <c r="H28" i="2"/>
  <c r="H29" i="2"/>
  <c r="E12" i="1"/>
  <c r="E4" i="1"/>
  <c r="E13" i="1"/>
  <c r="E16" i="1"/>
  <c r="E15" i="1"/>
  <c r="E11" i="1"/>
  <c r="E6" i="1"/>
  <c r="E2" i="1"/>
  <c r="E7" i="1"/>
  <c r="E8" i="1"/>
  <c r="E3" i="1"/>
  <c r="E10" i="1"/>
  <c r="E14" i="1"/>
  <c r="E5" i="1"/>
  <c r="E9" i="1"/>
  <c r="F8" i="1"/>
  <c r="F15" i="1"/>
  <c r="F2" i="1"/>
  <c r="F11" i="1"/>
  <c r="F9" i="1"/>
  <c r="F10" i="1"/>
  <c r="F14" i="1"/>
  <c r="F12" i="1"/>
  <c r="F13" i="1"/>
  <c r="F16" i="1"/>
  <c r="F3" i="1"/>
  <c r="F4" i="1"/>
  <c r="F5" i="1"/>
  <c r="F6" i="1"/>
  <c r="F7" i="1"/>
  <c r="H2" i="1" a="1"/>
  <c r="G2" i="1" a="1"/>
  <c r="G13" i="1" l="1"/>
  <c r="G15" i="1"/>
  <c r="G8" i="1"/>
  <c r="G9" i="1"/>
  <c r="G2" i="1"/>
  <c r="G14" i="1"/>
  <c r="G4" i="1"/>
  <c r="G3" i="1"/>
  <c r="G7" i="1"/>
  <c r="G16" i="1"/>
  <c r="G11" i="1"/>
  <c r="G6" i="1"/>
  <c r="G12" i="1"/>
  <c r="G10" i="1"/>
  <c r="G5" i="1"/>
  <c r="H2" i="1"/>
  <c r="H8" i="1"/>
  <c r="H5" i="1"/>
  <c r="H16" i="1"/>
  <c r="H10" i="1"/>
  <c r="H9" i="1"/>
  <c r="H13" i="1"/>
  <c r="H4" i="1"/>
  <c r="H6" i="1"/>
  <c r="H3" i="1"/>
  <c r="H15" i="1"/>
  <c r="H11" i="1"/>
  <c r="H7" i="1"/>
  <c r="H14" i="1"/>
  <c r="H12" i="1"/>
</calcChain>
</file>

<file path=xl/sharedStrings.xml><?xml version="1.0" encoding="utf-8"?>
<sst xmlns="http://schemas.openxmlformats.org/spreadsheetml/2006/main" count="18" uniqueCount="18">
  <si>
    <t>SEX</t>
    <phoneticPr fontId="1" type="noConversion"/>
  </si>
  <si>
    <t>AGE</t>
    <phoneticPr fontId="1" type="noConversion"/>
  </si>
  <si>
    <t>POLICY_TERM</t>
    <phoneticPr fontId="1" type="noConversion"/>
  </si>
  <si>
    <t>PAYMENT_TERM</t>
    <phoneticPr fontId="1" type="noConversion"/>
  </si>
  <si>
    <t>getCashFlow</t>
    <phoneticPr fontId="1" type="noConversion"/>
  </si>
  <si>
    <t>DeathBenefit</t>
    <phoneticPr fontId="1" type="noConversion"/>
  </si>
  <si>
    <t>prodId</t>
    <phoneticPr fontId="1" type="noConversion"/>
  </si>
  <si>
    <t>cash_flow_cat</t>
    <phoneticPr fontId="1" type="noConversion"/>
  </si>
  <si>
    <t>time_scale</t>
    <phoneticPr fontId="1" type="noConversion"/>
  </si>
  <si>
    <t>SUM_ASSURED</t>
    <phoneticPr fontId="1" type="noConversion"/>
  </si>
  <si>
    <t>GROSS_PREMIUM</t>
    <phoneticPr fontId="1" type="noConversion"/>
  </si>
  <si>
    <t>POLICY_YEAR</t>
    <phoneticPr fontId="1" type="noConversion"/>
  </si>
  <si>
    <t>YEAR</t>
    <phoneticPr fontId="1" type="noConversion"/>
  </si>
  <si>
    <t>productName</t>
    <phoneticPr fontId="1" type="noConversion"/>
  </si>
  <si>
    <t>CriticalIllnessBenefit</t>
  </si>
  <si>
    <t>AccidentBenefit</t>
    <phoneticPr fontId="1" type="noConversion"/>
  </si>
  <si>
    <t>SurvivalBenefit</t>
    <phoneticPr fontId="1" type="noConversion"/>
  </si>
  <si>
    <t>YEAR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</si>
</sst>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4" x14ac:knownFonts="1"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宋体"/>
      <family val="2"/>
      <scheme val="minor"/>
    </font>
    <font>
      <sz val="9"/>
      <color rgb="FF0000FF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>
      <alignment vertical="center"/>
    </xf>
  </cellStyleXfs>
  <cellXfs count="3">
    <xf numFmtId="0" fontId="0" fillId="0" borderId="0" xfId="0"/>
    <xf numFmtId="43" fontId="0" fillId="0" borderId="0" xfId="1" applyFont="1" applyAlignment="1"/>
    <xf numFmtId="0" fontId="3" fillId="0" borderId="0" xfId="0" applyFont="1" applyAlignment="1">
      <alignment vertical="center"/>
    </xf>
  </cellXfs>
  <cellStyles count="2">
    <cellStyle name="常规" xfId="0" builtinId="0"/>
    <cellStyle name="千位分隔" xfId="1" builtinId="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6"/>
  <sheetViews>
    <sheetView zoomScale="160" zoomScaleNormal="160" workbookViewId="0">
      <selection activeCell="E13" sqref="E13"/>
    </sheetView>
  </sheetViews>
  <sheetFormatPr defaultColWidth="11" defaultRowHeight="14.25" x14ac:dyDescent="0.15"/>
  <cols>
    <col min="1" max="1" width="9" customWidth="1"/>
    <col min="6" max="6" width="12.75" bestFit="1" customWidth="1"/>
    <col min="7" max="7" width="11.625" bestFit="1" customWidth="1"/>
    <col min="8" max="8" width="12.75" bestFit="1" customWidth="1"/>
  </cols>
  <sheetData>
    <row r="2" spans="2:8" x14ac:dyDescent="0.15">
      <c r="B2">
        <v>1</v>
      </c>
      <c r="C2">
        <v>3</v>
      </c>
      <c r="D2">
        <f t="array" ref="D2:D16">pSum(B2:B16,C2:C16)</f>
        <v>4</v>
      </c>
      <c r="E2">
        <f t="array" ref="E2:E16">pSum(C2:C16,D2:D16)</f>
        <v>7</v>
      </c>
      <c r="F2">
        <f t="array" ref="F2:F16">pSum(C2:C16,D2:D16)</f>
        <v>7</v>
      </c>
      <c r="G2">
        <f t="array" ref="G2:G16">pCumsum(F2:F16)</f>
        <v>107</v>
      </c>
      <c r="H2">
        <f t="array" ref="H2:H16">pCumprod(F2:F16)</f>
        <v>7</v>
      </c>
    </row>
    <row r="3" spans="2:8" x14ac:dyDescent="0.15">
      <c r="B3">
        <v>1</v>
      </c>
      <c r="C3">
        <v>3</v>
      </c>
      <c r="D3">
        <v>4</v>
      </c>
      <c r="E3">
        <v>7</v>
      </c>
      <c r="F3">
        <v>7</v>
      </c>
      <c r="G3">
        <v>100</v>
      </c>
      <c r="H3">
        <v>49</v>
      </c>
    </row>
    <row r="4" spans="2:8" x14ac:dyDescent="0.15">
      <c r="B4">
        <v>1</v>
      </c>
      <c r="C4">
        <v>3</v>
      </c>
      <c r="D4">
        <v>4</v>
      </c>
      <c r="E4">
        <v>7</v>
      </c>
      <c r="F4">
        <v>7</v>
      </c>
      <c r="G4">
        <v>93</v>
      </c>
      <c r="H4">
        <v>343</v>
      </c>
    </row>
    <row r="5" spans="2:8" x14ac:dyDescent="0.15">
      <c r="B5">
        <v>1</v>
      </c>
      <c r="C5">
        <v>3</v>
      </c>
      <c r="D5">
        <v>4</v>
      </c>
      <c r="E5">
        <v>7</v>
      </c>
      <c r="F5">
        <v>7</v>
      </c>
      <c r="G5">
        <v>86</v>
      </c>
      <c r="H5">
        <v>2401</v>
      </c>
    </row>
    <row r="6" spans="2:8" x14ac:dyDescent="0.15">
      <c r="B6">
        <v>1</v>
      </c>
      <c r="C6">
        <v>3</v>
      </c>
      <c r="D6">
        <v>4</v>
      </c>
      <c r="E6">
        <v>7</v>
      </c>
      <c r="F6">
        <v>7</v>
      </c>
      <c r="G6">
        <v>79</v>
      </c>
      <c r="H6">
        <v>16807</v>
      </c>
    </row>
    <row r="7" spans="2:8" x14ac:dyDescent="0.15">
      <c r="B7">
        <v>1</v>
      </c>
      <c r="C7">
        <v>3</v>
      </c>
      <c r="D7">
        <v>4</v>
      </c>
      <c r="E7">
        <v>7</v>
      </c>
      <c r="F7">
        <v>7</v>
      </c>
      <c r="G7">
        <v>72</v>
      </c>
      <c r="H7">
        <v>117649</v>
      </c>
    </row>
    <row r="8" spans="2:8" x14ac:dyDescent="0.15">
      <c r="B8">
        <v>1</v>
      </c>
      <c r="C8">
        <v>4</v>
      </c>
      <c r="D8">
        <v>5</v>
      </c>
      <c r="E8">
        <v>9</v>
      </c>
      <c r="F8">
        <v>9</v>
      </c>
      <c r="G8">
        <v>65</v>
      </c>
      <c r="H8">
        <v>1058841</v>
      </c>
    </row>
    <row r="9" spans="2:8" x14ac:dyDescent="0.15">
      <c r="B9">
        <v>1</v>
      </c>
      <c r="C9">
        <v>3</v>
      </c>
      <c r="D9">
        <v>4</v>
      </c>
      <c r="E9">
        <v>7</v>
      </c>
      <c r="F9">
        <v>7</v>
      </c>
      <c r="G9">
        <v>56</v>
      </c>
      <c r="H9">
        <v>7411887</v>
      </c>
    </row>
    <row r="10" spans="2:8" x14ac:dyDescent="0.15">
      <c r="B10">
        <v>1</v>
      </c>
      <c r="C10">
        <v>3</v>
      </c>
      <c r="D10">
        <v>4</v>
      </c>
      <c r="E10">
        <v>7</v>
      </c>
      <c r="F10">
        <v>7</v>
      </c>
      <c r="G10">
        <v>49</v>
      </c>
      <c r="H10">
        <v>51883209</v>
      </c>
    </row>
    <row r="11" spans="2:8" x14ac:dyDescent="0.15">
      <c r="B11">
        <v>1</v>
      </c>
      <c r="C11">
        <v>3</v>
      </c>
      <c r="D11">
        <v>4</v>
      </c>
      <c r="E11">
        <v>7</v>
      </c>
      <c r="F11">
        <v>7</v>
      </c>
      <c r="G11">
        <v>42</v>
      </c>
      <c r="H11">
        <v>363182463</v>
      </c>
    </row>
    <row r="12" spans="2:8" x14ac:dyDescent="0.15">
      <c r="B12">
        <v>1</v>
      </c>
      <c r="C12">
        <v>3</v>
      </c>
      <c r="D12">
        <v>4</v>
      </c>
      <c r="E12">
        <v>7</v>
      </c>
      <c r="F12">
        <v>7</v>
      </c>
      <c r="G12">
        <v>35</v>
      </c>
      <c r="H12">
        <v>2542277241</v>
      </c>
    </row>
    <row r="13" spans="2:8" x14ac:dyDescent="0.15">
      <c r="B13">
        <v>1</v>
      </c>
      <c r="C13">
        <v>3</v>
      </c>
      <c r="D13">
        <v>4</v>
      </c>
      <c r="E13">
        <v>7</v>
      </c>
      <c r="F13">
        <v>7</v>
      </c>
      <c r="G13">
        <v>28</v>
      </c>
      <c r="H13">
        <v>17795940687</v>
      </c>
    </row>
    <row r="14" spans="2:8" x14ac:dyDescent="0.15">
      <c r="B14">
        <v>1</v>
      </c>
      <c r="C14">
        <v>3</v>
      </c>
      <c r="D14">
        <v>4</v>
      </c>
      <c r="E14">
        <v>7</v>
      </c>
      <c r="F14">
        <v>7</v>
      </c>
      <c r="G14">
        <v>21</v>
      </c>
      <c r="H14">
        <v>124571584809</v>
      </c>
    </row>
    <row r="15" spans="2:8" x14ac:dyDescent="0.15">
      <c r="B15">
        <v>1</v>
      </c>
      <c r="C15">
        <v>3</v>
      </c>
      <c r="D15">
        <v>4</v>
      </c>
      <c r="E15">
        <v>7</v>
      </c>
      <c r="F15">
        <v>7</v>
      </c>
      <c r="G15">
        <v>14</v>
      </c>
      <c r="H15">
        <v>872001093663</v>
      </c>
    </row>
    <row r="16" spans="2:8" x14ac:dyDescent="0.15">
      <c r="B16">
        <v>1</v>
      </c>
      <c r="C16">
        <v>3</v>
      </c>
      <c r="D16">
        <v>4</v>
      </c>
      <c r="E16">
        <v>7</v>
      </c>
      <c r="F16">
        <v>7</v>
      </c>
      <c r="G16">
        <v>7</v>
      </c>
      <c r="H16">
        <v>6104007655641</v>
      </c>
    </row>
  </sheetData>
  <phoneticPr fontId="1" type="noConversion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39"/>
  <sheetViews>
    <sheetView tabSelected="1" zoomScale="115" zoomScaleNormal="115" workbookViewId="0">
      <selection activeCell="J8" sqref="J8"/>
    </sheetView>
  </sheetViews>
  <sheetFormatPr defaultRowHeight="14.25" x14ac:dyDescent="0.15"/>
  <cols>
    <col min="1" max="1" width="9" customWidth="1"/>
    <col min="2" max="2" width="13.875" bestFit="1" customWidth="1"/>
    <col min="3" max="3" width="9.5" bestFit="1" customWidth="1"/>
    <col min="5" max="5" width="15" bestFit="1" customWidth="1"/>
    <col min="6" max="6" width="13.875" bestFit="1" customWidth="1"/>
    <col min="7" max="7" width="15.375" customWidth="1"/>
    <col min="8" max="9" width="17.25" bestFit="1" customWidth="1"/>
    <col min="11" max="11" width="12.25" bestFit="1" customWidth="1"/>
  </cols>
  <sheetData>
    <row r="1" spans="2:9" x14ac:dyDescent="0.15">
      <c r="B1" t="s">
        <v>6</v>
      </c>
      <c r="C1" s="2">
        <v>20312001</v>
      </c>
    </row>
    <row r="2" spans="2:9" x14ac:dyDescent="0.15">
      <c r="B2" t="s">
        <v>0</v>
      </c>
      <c r="C2">
        <v>2</v>
      </c>
      <c r="E2" t="s">
        <v>8</v>
      </c>
      <c r="F2" t="s">
        <v>12</v>
      </c>
      <c r="G2" t="str">
        <f>F2</f>
        <v>YEAR</v>
      </c>
      <c r="H2" t="str">
        <f>G2</f>
        <v>YEAR</v>
      </c>
      <c r="I2" t="s">
        <v>17</v>
      </c>
    </row>
    <row r="3" spans="2:9" x14ac:dyDescent="0.15">
      <c r="B3" t="s">
        <v>1</v>
      </c>
      <c r="C3">
        <v>21</v>
      </c>
      <c r="E3" t="s">
        <v>7</v>
      </c>
      <c r="F3" t="s">
        <v>5</v>
      </c>
      <c r="G3" t="s">
        <v>14</v>
      </c>
      <c r="H3" t="s">
        <v>15</v>
      </c>
      <c r="I3" t="s">
        <v>16</v>
      </c>
    </row>
    <row r="4" spans="2:9" x14ac:dyDescent="0.15">
      <c r="B4" t="s">
        <v>2</v>
      </c>
      <c r="C4">
        <v>10</v>
      </c>
      <c r="F4" t="s">
        <v>4</v>
      </c>
      <c r="G4" t="str">
        <f>F4</f>
        <v>getCashFlow</v>
      </c>
      <c r="H4" t="str">
        <f>G4</f>
        <v>getCashFlow</v>
      </c>
      <c r="I4" t="str">
        <f>H4</f>
        <v>getCashFlow</v>
      </c>
    </row>
    <row r="5" spans="2:9" x14ac:dyDescent="0.15">
      <c r="B5" t="s">
        <v>3</v>
      </c>
      <c r="C5">
        <v>5</v>
      </c>
      <c r="F5" s="1">
        <f t="array" ref="F5:F39">IFERROR(productArrayOf($C$1,F$4,$B$2:$B$8,$C$2:$C$8,$E$2:$E$3,F$2:F$3),0)</f>
        <v>1050</v>
      </c>
      <c r="G5" s="1" t="str">
        <f t="array" ref="G5:G39">IFERROR(productArrayOf($C$1,G$4,$B$2:$B$8,$C$2:$C$8,$E$2:$E$3,G$2:G$3),0)</f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5" s="1">
        <f t="array" ref="H5:H39">IFERROR(productArrayOf($C$1,H$4,$B$2:$B$8,$C$2:$C$8,$E$2:$E$3,H$2:H$3),0)</f>
        <v>9750</v>
      </c>
      <c r="I5" s="1">
        <f t="array" ref="I5:I39">IFERROR(productArrayOf($C$1,I$4,$B$2:$B$8,$C$2:$C$8,$E$2:$E$3,I$2:I$3),0)</f>
        <v>0</v>
      </c>
    </row>
    <row r="6" spans="2:9" x14ac:dyDescent="0.15">
      <c r="B6" t="s">
        <v>11</v>
      </c>
      <c r="C6">
        <v>1</v>
      </c>
      <c r="F6" s="1">
        <v>2100</v>
      </c>
      <c r="G6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6" s="1">
        <v>9750</v>
      </c>
      <c r="I6" s="1">
        <v>0</v>
      </c>
    </row>
    <row r="7" spans="2:9" x14ac:dyDescent="0.15">
      <c r="B7" t="s">
        <v>9</v>
      </c>
      <c r="C7">
        <v>5000</v>
      </c>
      <c r="F7" s="1">
        <v>3150</v>
      </c>
      <c r="G7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7" s="1">
        <v>9750</v>
      </c>
      <c r="I7" s="1">
        <v>1050</v>
      </c>
    </row>
    <row r="8" spans="2:9" x14ac:dyDescent="0.15">
      <c r="B8" t="s">
        <v>10</v>
      </c>
      <c r="C8">
        <v>1000</v>
      </c>
      <c r="F8" s="1">
        <v>4200</v>
      </c>
      <c r="G8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8" s="1">
        <v>9750</v>
      </c>
      <c r="I8" s="1">
        <v>0</v>
      </c>
    </row>
    <row r="9" spans="2:9" x14ac:dyDescent="0.15">
      <c r="F9" s="1">
        <v>5250</v>
      </c>
      <c r="G9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9" s="1">
        <v>9750</v>
      </c>
      <c r="I9" s="1">
        <v>0</v>
      </c>
    </row>
    <row r="10" spans="2:9" x14ac:dyDescent="0.15">
      <c r="F10" s="1">
        <v>5250</v>
      </c>
      <c r="G10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10" s="1">
        <v>9750</v>
      </c>
      <c r="I10" s="1">
        <v>1050</v>
      </c>
    </row>
    <row r="11" spans="2:9" x14ac:dyDescent="0.15">
      <c r="B11" t="s">
        <v>13</v>
      </c>
      <c r="C11" t="str">
        <f>productName(C1)</f>
        <v>珠江喜多多两全保险（分红型）</v>
      </c>
      <c r="F11" s="1">
        <v>5250</v>
      </c>
      <c r="G11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11" s="1">
        <v>9750</v>
      </c>
      <c r="I11" s="1">
        <v>0</v>
      </c>
    </row>
    <row r="12" spans="2:9" x14ac:dyDescent="0.15">
      <c r="F12" s="1">
        <v>5250</v>
      </c>
      <c r="G12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12" s="1">
        <v>9750</v>
      </c>
      <c r="I12" s="1">
        <v>0</v>
      </c>
    </row>
    <row r="13" spans="2:9" x14ac:dyDescent="0.15">
      <c r="F13" s="1">
        <v>5250</v>
      </c>
      <c r="G13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13" s="1">
        <v>9750</v>
      </c>
      <c r="I13" s="1">
        <v>1050</v>
      </c>
    </row>
    <row r="14" spans="2:9" x14ac:dyDescent="0.15">
      <c r="F14" s="1">
        <v>5250</v>
      </c>
      <c r="G14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14" s="1">
        <v>9750</v>
      </c>
      <c r="I14" s="1">
        <v>5000</v>
      </c>
    </row>
    <row r="15" spans="2:9" x14ac:dyDescent="0.15">
      <c r="F15" s="1" t="e">
        <v>#N/A</v>
      </c>
      <c r="G15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15" s="1" t="e">
        <v>#N/A</v>
      </c>
      <c r="I15" s="1" t="e">
        <v>#N/A</v>
      </c>
    </row>
    <row r="16" spans="2:9" x14ac:dyDescent="0.15">
      <c r="F16" s="1" t="e">
        <v>#N/A</v>
      </c>
      <c r="G16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16" s="1" t="e">
        <v>#N/A</v>
      </c>
      <c r="I16" s="1" t="e">
        <v>#N/A</v>
      </c>
    </row>
    <row r="17" spans="6:9" x14ac:dyDescent="0.15">
      <c r="F17" s="1" t="e">
        <v>#N/A</v>
      </c>
      <c r="G17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17" s="1" t="e">
        <v>#N/A</v>
      </c>
      <c r="I17" s="1" t="e">
        <v>#N/A</v>
      </c>
    </row>
    <row r="18" spans="6:9" x14ac:dyDescent="0.15">
      <c r="F18" s="1" t="e">
        <v>#N/A</v>
      </c>
      <c r="G18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18" s="1" t="e">
        <v>#N/A</v>
      </c>
      <c r="I18" s="1" t="e">
        <v>#N/A</v>
      </c>
    </row>
    <row r="19" spans="6:9" x14ac:dyDescent="0.15">
      <c r="F19" s="1" t="e">
        <v>#N/A</v>
      </c>
      <c r="G19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19" s="1" t="e">
        <v>#N/A</v>
      </c>
      <c r="I19" s="1" t="e">
        <v>#N/A</v>
      </c>
    </row>
    <row r="20" spans="6:9" x14ac:dyDescent="0.15">
      <c r="F20" s="1" t="e">
        <v>#N/A</v>
      </c>
      <c r="G20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20" s="1" t="e">
        <v>#N/A</v>
      </c>
      <c r="I20" s="1" t="e">
        <v>#N/A</v>
      </c>
    </row>
    <row r="21" spans="6:9" x14ac:dyDescent="0.15">
      <c r="F21" s="1" t="e">
        <v>#N/A</v>
      </c>
      <c r="G21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21" s="1" t="e">
        <v>#N/A</v>
      </c>
      <c r="I21" s="1" t="e">
        <v>#N/A</v>
      </c>
    </row>
    <row r="22" spans="6:9" x14ac:dyDescent="0.15">
      <c r="F22" s="1" t="e">
        <v>#N/A</v>
      </c>
      <c r="G22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22" s="1" t="e">
        <v>#N/A</v>
      </c>
      <c r="I22" s="1" t="e">
        <v>#N/A</v>
      </c>
    </row>
    <row r="23" spans="6:9" x14ac:dyDescent="0.15">
      <c r="F23" s="1" t="e">
        <v>#N/A</v>
      </c>
      <c r="G23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23" s="1" t="e">
        <v>#N/A</v>
      </c>
      <c r="I23" s="1" t="e">
        <v>#N/A</v>
      </c>
    </row>
    <row r="24" spans="6:9" x14ac:dyDescent="0.15">
      <c r="F24" s="1" t="e">
        <v>#N/A</v>
      </c>
      <c r="G24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24" s="1" t="e">
        <v>#N/A</v>
      </c>
      <c r="I24" s="1" t="e">
        <v>#N/A</v>
      </c>
    </row>
    <row r="25" spans="6:9" x14ac:dyDescent="0.15">
      <c r="F25" s="1" t="e">
        <v>#N/A</v>
      </c>
      <c r="G25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25" s="1" t="e">
        <v>#N/A</v>
      </c>
      <c r="I25" s="1" t="e">
        <v>#N/A</v>
      </c>
    </row>
    <row r="26" spans="6:9" x14ac:dyDescent="0.15">
      <c r="F26" s="1" t="e">
        <v>#N/A</v>
      </c>
      <c r="G26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26" s="1" t="e">
        <v>#N/A</v>
      </c>
      <c r="I26" s="1" t="e">
        <v>#N/A</v>
      </c>
    </row>
    <row r="27" spans="6:9" x14ac:dyDescent="0.15">
      <c r="F27" s="1" t="e">
        <v>#N/A</v>
      </c>
      <c r="G27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27" s="1" t="e">
        <v>#N/A</v>
      </c>
      <c r="I27" s="1" t="e">
        <v>#N/A</v>
      </c>
    </row>
    <row r="28" spans="6:9" x14ac:dyDescent="0.15">
      <c r="F28" s="1" t="e">
        <v>#N/A</v>
      </c>
      <c r="G28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28" s="1" t="e">
        <v>#N/A</v>
      </c>
      <c r="I28" s="1" t="e">
        <v>#N/A</v>
      </c>
    </row>
    <row r="29" spans="6:9" x14ac:dyDescent="0.15">
      <c r="F29" s="1" t="e">
        <v>#N/A</v>
      </c>
      <c r="G29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29" s="1" t="e">
        <v>#N/A</v>
      </c>
      <c r="I29" s="1" t="e">
        <v>#N/A</v>
      </c>
    </row>
    <row r="30" spans="6:9" x14ac:dyDescent="0.15">
      <c r="F30" s="1" t="e">
        <v>#N/A</v>
      </c>
      <c r="G30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30" s="1" t="e">
        <v>#N/A</v>
      </c>
      <c r="I30" s="1" t="e">
        <v>#N/A</v>
      </c>
    </row>
    <row r="31" spans="6:9" x14ac:dyDescent="0.15">
      <c r="F31" s="1" t="e">
        <v>#N/A</v>
      </c>
      <c r="G31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31" s="1" t="e">
        <v>#N/A</v>
      </c>
      <c r="I31" s="1" t="e">
        <v>#N/A</v>
      </c>
    </row>
    <row r="32" spans="6:9" x14ac:dyDescent="0.15">
      <c r="F32" s="1" t="e">
        <v>#N/A</v>
      </c>
      <c r="G32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32" s="1" t="e">
        <v>#N/A</v>
      </c>
      <c r="I32" s="1" t="e">
        <v>#N/A</v>
      </c>
    </row>
    <row r="33" spans="6:9" x14ac:dyDescent="0.15">
      <c r="F33" s="1" t="e">
        <v>#N/A</v>
      </c>
      <c r="G33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33" s="1" t="e">
        <v>#N/A</v>
      </c>
      <c r="I33" s="1" t="e">
        <v>#N/A</v>
      </c>
    </row>
    <row r="34" spans="6:9" x14ac:dyDescent="0.15">
      <c r="F34" s="1" t="e">
        <v>#N/A</v>
      </c>
      <c r="G34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34" s="1" t="e">
        <v>#N/A</v>
      </c>
      <c r="I34" s="1" t="e">
        <v>#N/A</v>
      </c>
    </row>
    <row r="35" spans="6:9" x14ac:dyDescent="0.15">
      <c r="F35" s="1" t="e">
        <v>#N/A</v>
      </c>
      <c r="G35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35" s="1" t="e">
        <v>#N/A</v>
      </c>
      <c r="I35" s="1" t="e">
        <v>#N/A</v>
      </c>
    </row>
    <row r="36" spans="6:9" x14ac:dyDescent="0.15">
      <c r="F36" s="1" t="e">
        <v>#N/A</v>
      </c>
      <c r="G36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36" s="1" t="e">
        <v>#N/A</v>
      </c>
      <c r="I36" s="1" t="e">
        <v>#N/A</v>
      </c>
    </row>
    <row r="37" spans="6:9" x14ac:dyDescent="0.15">
      <c r="F37" s="1" t="e">
        <v>#N/A</v>
      </c>
      <c r="G37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37" s="1" t="e">
        <v>#N/A</v>
      </c>
      <c r="I37" s="1" t="e">
        <v>#N/A</v>
      </c>
    </row>
    <row r="38" spans="6:9" x14ac:dyDescent="0.15">
      <c r="F38" s="1" t="e">
        <v>#N/A</v>
      </c>
      <c r="G38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38" s="1" t="e">
        <v>#N/A</v>
      </c>
      <c r="I38" s="1" t="e">
        <v>#N/A</v>
      </c>
    </row>
    <row r="39" spans="6:9" x14ac:dyDescent="0.15">
      <c r="F39" s="1" t="e">
        <v>#N/A</v>
      </c>
      <c r="G39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39" s="1" t="e">
        <v>#N/A</v>
      </c>
      <c r="I39" s="1" t="e">
        <v>#N/A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张云水</cp:lastModifiedBy>
  <dcterms:created xsi:type="dcterms:W3CDTF">2015-01-25T11:31:25Z</dcterms:created>
  <dcterms:modified xsi:type="dcterms:W3CDTF">2017-04-27T00:48:30Z</dcterms:modified>
</cp:coreProperties>
</file>